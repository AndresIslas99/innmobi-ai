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dor" sheetId="1" state="visible" r:id="rId1"/>
    <sheet name="Propuesta" sheetId="2" state="visible" r:id="rId2"/>
    <sheet name="Precios" sheetId="3" state="visible" r:id="rId3"/>
  </sheets>
  <definedNames>
    <definedName name="_xlnm.Print_Area" localSheetId="1">'Propuesta'!$A$1:$D$43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#,##0;(#,##0);-"/>
    <numFmt numFmtId="166" formatCode="$#,##0.00;($#,##0.00);-"/>
    <numFmt numFmtId="167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3A2D"/>
      <sz val="16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555555"/>
      <sz val="9"/>
    </font>
    <font>
      <name val="Arial"/>
      <b val="1"/>
      <color rgb="001F3A2D"/>
      <sz val="12"/>
    </font>
    <font>
      <name val="Arial"/>
      <b val="1"/>
    </font>
    <font>
      <name val="Arial"/>
      <b val="1"/>
      <color rgb="000F0F10"/>
      <sz val="22"/>
    </font>
    <font>
      <name val="Arial"/>
      <b val="1"/>
      <color rgb="00A77E2B"/>
      <sz val="9"/>
    </font>
  </fonts>
  <fills count="5">
    <fill>
      <patternFill/>
    </fill>
    <fill>
      <patternFill patternType="gray125"/>
    </fill>
    <fill>
      <patternFill patternType="solid">
        <fgColor rgb="001F3A2D"/>
      </patternFill>
    </fill>
    <fill>
      <patternFill patternType="solid">
        <fgColor rgb="00FFFF00"/>
      </patternFill>
    </fill>
    <fill>
      <patternFill patternType="solid">
        <fgColor rgb="00EFEAE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5" fontId="4" fillId="3" borderId="0" pivotButton="0" quotePrefix="0" xfId="0"/>
    <xf numFmtId="165" fontId="3" fillId="0" borderId="0" pivotButton="0" quotePrefix="0" xfId="0"/>
    <xf numFmtId="167" fontId="3" fillId="0" borderId="0" pivotButton="0" quotePrefix="0" xfId="0"/>
    <xf numFmtId="0" fontId="7" fillId="0" borderId="0" pivotButton="0" quotePrefix="0" xfId="0"/>
    <xf numFmtId="49" fontId="7" fillId="0" borderId="0" pivotButton="0" quotePrefix="0" xfId="0"/>
    <xf numFmtId="164" fontId="3" fillId="0" borderId="0" pivotButton="0" quotePrefix="0" xfId="0"/>
    <xf numFmtId="164" fontId="7" fillId="0" borderId="0" pivotButton="0" quotePrefix="0" xfId="0"/>
    <xf numFmtId="164" fontId="7" fillId="4" borderId="0" pivotButton="0" quotePrefix="0" xfId="0"/>
    <xf numFmtId="49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7" fillId="4" borderId="1" pivotButton="0" quotePrefix="0" xfId="0"/>
    <xf numFmtId="164" fontId="7" fillId="4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0" fillId="0" borderId="1" pivotButton="0" quotePrefix="0" xfId="0"/>
    <xf numFmtId="0" fontId="5" fillId="0" borderId="0" applyAlignment="1" pivotButton="0" quotePrefix="0" xfId="0">
      <alignment/>
    </xf>
    <xf numFmtId="0" fontId="2" fillId="2" borderId="0" pivotButton="0" quotePrefix="0" xfId="0"/>
    <xf numFmtId="164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166" fontId="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50" customWidth="1" min="3" max="3"/>
  </cols>
  <sheetData>
    <row r="1">
      <c r="A1" s="1" t="inlineStr">
        <is>
          <t>Cotizador Innmobi.ai</t>
        </is>
      </c>
    </row>
    <row r="2">
      <c r="A2" s="2" t="inlineStr">
        <is>
          <t>Llena solo las celdas amarillas. La hoja "Propuesta" se arma sola: imprímela o guárdala como PDF.</t>
        </is>
      </c>
    </row>
    <row r="4">
      <c r="A4" s="3" t="inlineStr">
        <is>
          <t>DATOS DEL CLIENTE</t>
        </is>
      </c>
    </row>
    <row r="5">
      <c r="A5" s="4" t="inlineStr">
        <is>
          <t>Contacto</t>
        </is>
      </c>
      <c r="B5" s="5" t="inlineStr">
        <is>
          <t>Nombre Apellido</t>
        </is>
      </c>
    </row>
    <row r="6">
      <c r="A6" s="4" t="inlineStr">
        <is>
          <t>Inmobiliaria</t>
        </is>
      </c>
      <c r="B6" s="5" t="inlineStr">
        <is>
          <t>Inmobiliaria Ejemplo S.A. de C.V.</t>
        </is>
      </c>
    </row>
    <row r="7">
      <c r="A7" s="4" t="inlineStr">
        <is>
          <t>Ciudad</t>
        </is>
      </c>
      <c r="B7" s="5" t="inlineStr">
        <is>
          <t>Ciudad de México</t>
        </is>
      </c>
    </row>
    <row r="8">
      <c r="A8" s="4" t="inlineStr">
        <is>
          <t>Asesores activos</t>
        </is>
      </c>
      <c r="B8" s="6" t="n">
        <v>12</v>
      </c>
    </row>
    <row r="9">
      <c r="A9" s="4" t="inlineStr">
        <is>
          <t>Llamadas entrantes estimadas al mes</t>
        </is>
      </c>
      <c r="B9" s="6" t="n">
        <v>150</v>
      </c>
    </row>
    <row r="10">
      <c r="A10" s="4" t="inlineStr">
        <is>
          <t>Paquete de voz</t>
        </is>
      </c>
      <c r="B10" s="5" t="inlineStr">
        <is>
          <t>Ninguno</t>
        </is>
      </c>
    </row>
    <row r="11">
      <c r="A11" s="4" t="inlineStr">
        <is>
          <t>Líneas simultáneas adicionales</t>
        </is>
      </c>
      <c r="B11" s="6" t="n">
        <v>0</v>
      </c>
    </row>
    <row r="12">
      <c r="A12" s="4" t="inlineStr">
        <is>
          <t>Paquetes de difusión WhatsApp (1,000 msj)</t>
        </is>
      </c>
      <c r="B12" s="6" t="n">
        <v>0</v>
      </c>
    </row>
    <row r="13">
      <c r="A13" s="4" t="inlineStr">
        <is>
          <t>Forma de pago de la mensualidad</t>
        </is>
      </c>
      <c r="B13" s="5" t="inlineStr">
        <is>
          <t>Mensual</t>
        </is>
      </c>
    </row>
    <row r="14">
      <c r="A14" s="4" t="inlineStr">
        <is>
          <t>Escalón de implementación</t>
        </is>
      </c>
      <c r="B14" s="5" t="inlineStr">
        <is>
          <t>A · Lista</t>
        </is>
      </c>
    </row>
    <row r="15">
      <c r="A15" s="4" t="inlineStr">
        <is>
          <t>Vendedor</t>
        </is>
      </c>
      <c r="B15" s="5" t="inlineStr">
        <is>
          <t>Nombre del vendedor</t>
        </is>
      </c>
    </row>
    <row r="16">
      <c r="A16" s="4" t="inlineStr">
        <is>
          <t>Fecha de la propuesta</t>
        </is>
      </c>
      <c r="B16" s="5" t="inlineStr">
        <is>
          <t>2026-10-08</t>
        </is>
      </c>
    </row>
    <row r="17">
      <c r="A17" s="2" t="inlineStr">
        <is>
          <t>Ejemplo precargado: sobrescribe con los datos reales.</t>
        </is>
      </c>
    </row>
    <row r="19">
      <c r="A19" s="3" t="inlineStr">
        <is>
          <t>RECOMENDACIÓN DE HORAS</t>
        </is>
      </c>
    </row>
    <row r="20">
      <c r="A20" s="4" t="inlineStr">
        <is>
          <t>Minutos estimados al mes</t>
        </is>
      </c>
      <c r="B20" s="7">
        <f>$B$9*Precios!$B$11</f>
        <v/>
      </c>
    </row>
    <row r="21">
      <c r="A21" s="4" t="inlineStr">
        <is>
          <t>Horas estimadas al mes</t>
        </is>
      </c>
      <c r="B21" s="8">
        <f>$B$20/60</f>
        <v/>
      </c>
    </row>
    <row r="22">
      <c r="A22" s="9" t="inlineStr">
        <is>
          <t>Paquete recomendado</t>
        </is>
      </c>
      <c r="B22" s="10">
        <f>IF($B$21&lt;=5,"Ninguno",IF($B$21&lt;=10,"+5 h","+10 h"))</f>
        <v/>
      </c>
      <c r="C22" s="2" t="inlineStr">
        <is>
          <t>5 h incluidas; arriba de 15 h estimadas, platícalo con tu líder</t>
        </is>
      </c>
    </row>
    <row r="24">
      <c r="A24" s="3" t="inlineStr">
        <is>
          <t>MENSUALIDAD</t>
        </is>
      </c>
    </row>
    <row r="25">
      <c r="A25" s="4" t="inlineStr">
        <is>
          <t>Plan Innmobi</t>
        </is>
      </c>
      <c r="B25" s="11">
        <f>Precios!$B$4</f>
        <v/>
      </c>
    </row>
    <row r="26">
      <c r="A26" s="4" t="inlineStr">
        <is>
          <t>Paquete de voz</t>
        </is>
      </c>
      <c r="B26" s="11">
        <f>INDEX(Precios!$C$15:$C$17,MATCH($B$10,Precios!$A$15:$A$17,0))</f>
        <v/>
      </c>
    </row>
    <row r="27">
      <c r="A27" s="4" t="inlineStr">
        <is>
          <t>Líneas adicionales</t>
        </is>
      </c>
      <c r="B27" s="11">
        <f>$B$11*Precios!$B$8</f>
        <v/>
      </c>
    </row>
    <row r="28">
      <c r="A28" s="4" t="inlineStr">
        <is>
          <t>Paquetes de difusión WhatsApp</t>
        </is>
      </c>
      <c r="B28" s="11">
        <f>$B$12*Precios!$B$9</f>
        <v/>
      </c>
    </row>
    <row r="29">
      <c r="A29" s="9" t="inlineStr">
        <is>
          <t>Subtotal mensual</t>
        </is>
      </c>
      <c r="B29" s="12">
        <f>$B$25+$B$26+$B$27+$B$28</f>
        <v/>
      </c>
    </row>
    <row r="30">
      <c r="A30" s="4" t="inlineStr">
        <is>
          <t>IVA</t>
        </is>
      </c>
      <c r="B30" s="11">
        <f>$B$29*Precios!$B$7</f>
        <v/>
      </c>
    </row>
    <row r="31">
      <c r="A31" s="9" t="inlineStr">
        <is>
          <t>Total mensual con IVA</t>
        </is>
      </c>
      <c r="B31" s="13">
        <f>$B$29+$B$30</f>
        <v/>
      </c>
    </row>
    <row r="32">
      <c r="A32" s="4" t="inlineStr">
        <is>
          <t>Si paga anual: total del año sin IVA</t>
        </is>
      </c>
      <c r="B32" s="11">
        <f>$B$25*Precios!$B$5+($B$26+$B$27+$B$28)*12</f>
        <v/>
      </c>
      <c r="C32" s="2" t="inlineStr">
        <is>
          <t>Plan: 12 meses por el precio de 10; extras completos</t>
        </is>
      </c>
    </row>
    <row r="33">
      <c r="A33" s="4" t="inlineStr">
        <is>
          <t>Si paga anual: total del año con IVA</t>
        </is>
      </c>
      <c r="B33" s="11">
        <f>$B$32*(1+Precios!$B$7)</f>
        <v/>
      </c>
    </row>
    <row r="35">
      <c r="A35" s="3" t="inlineStr">
        <is>
          <t>IMPLEMENTACIÓN</t>
        </is>
      </c>
    </row>
    <row r="36">
      <c r="A36" s="4" t="inlineStr">
        <is>
          <t>Al firmar</t>
        </is>
      </c>
      <c r="B36" s="11">
        <f>INDEX(Precios!$B$22:$B$25,MATCH($B$14,Precios!$A$22:$A$25,0))</f>
        <v/>
      </c>
    </row>
    <row r="37">
      <c r="A37" s="4" t="inlineStr">
        <is>
          <t>Segundo pago</t>
        </is>
      </c>
      <c r="B37" s="11">
        <f>INDEX(Precios!$C$22:$C$25,MATCH($B$14,Precios!$A$22:$A$25,0))</f>
        <v/>
      </c>
    </row>
    <row r="38">
      <c r="A38" s="4" t="inlineStr">
        <is>
          <t>Cuándo se paga el segundo pago</t>
        </is>
      </c>
      <c r="B38" s="14">
        <f>INDEX(Precios!$D$22:$D$25,MATCH($B$14,Precios!$A$22:$A$25,0))</f>
        <v/>
      </c>
    </row>
    <row r="39">
      <c r="A39" s="4" t="inlineStr">
        <is>
          <t>Condición del escalón</t>
        </is>
      </c>
      <c r="B39" s="14">
        <f>INDEX(Precios!$E$22:$E$25,MATCH($B$14,Precios!$A$22:$A$25,0))</f>
        <v/>
      </c>
    </row>
    <row r="40">
      <c r="A40" s="4" t="inlineStr">
        <is>
          <t>Revisión (debe sumar la implementación)</t>
        </is>
      </c>
      <c r="B40" s="14">
        <f>IF($B$36+$B$37=Precios!$B$6,"OK","REVISAR")</f>
        <v/>
      </c>
    </row>
    <row r="42">
      <c r="A42" s="3" t="inlineStr">
        <is>
          <t>PAGOS</t>
        </is>
      </c>
    </row>
    <row r="43">
      <c r="A43" s="9" t="inlineStr">
        <is>
          <t>Primer pago (al firmar) sin IVA</t>
        </is>
      </c>
      <c r="B43" s="12">
        <f>$B$36+IF($B$13="Anual",$B$32,$B$29)</f>
        <v/>
      </c>
    </row>
    <row r="44">
      <c r="A44" s="9" t="inlineStr">
        <is>
          <t>Primer pago con IVA</t>
        </is>
      </c>
      <c r="B44" s="13">
        <f>$B$43*(1+Precios!$B$7)</f>
        <v/>
      </c>
    </row>
    <row r="45">
      <c r="A45" s="9" t="inlineStr">
        <is>
          <t>Total primer año sin IVA</t>
        </is>
      </c>
      <c r="B45" s="12">
        <f>Precios!$B$6+IF($B$13="Anual",$B$32,$B$29*12)</f>
        <v/>
      </c>
    </row>
    <row r="46">
      <c r="A46" s="9" t="inlineStr">
        <is>
          <t>Total primer año con IVA</t>
        </is>
      </c>
      <c r="B46" s="13">
        <f>$B$45*(1+Precios!$B$7)</f>
        <v/>
      </c>
    </row>
  </sheetData>
  <dataValidations count="4">
    <dataValidation sqref="B10" showDropDown="0" showInputMessage="0" showErrorMessage="0" allowBlank="0" type="list">
      <formula1>=Precios!$A$15:$A$17</formula1>
    </dataValidation>
    <dataValidation sqref="B13" showDropDown="0" showInputMessage="0" showErrorMessage="0" allowBlank="0" type="list">
      <formula1>"Mensual,Anual"</formula1>
    </dataValidation>
    <dataValidation sqref="B14" showDropDown="0" showInputMessage="0" showErrorMessage="0" allowBlank="0" type="list">
      <formula1>=Precios!$A$22:$A$25</formula1>
    </dataValidation>
    <dataValidation sqref="B11 B12" showDropDown="0" showInputMessage="0" showErrorMessage="0" allowBlank="0" type="whole" operator="between">
      <formula1>0</formula1>
      <formula2>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D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2" customWidth="1" min="3" max="3"/>
    <col width="22" customWidth="1" min="4" max="4"/>
  </cols>
  <sheetData>
    <row r="2">
      <c r="B2" s="15" t="inlineStr">
        <is>
          <t>Innmobi.ai</t>
        </is>
      </c>
    </row>
    <row r="3">
      <c r="B3" s="16" t="inlineStr">
        <is>
          <t>PROPUESTA COMERCIAL</t>
        </is>
      </c>
    </row>
    <row r="5">
      <c r="B5" s="3">
        <f>"Para: "&amp;Cotizador!$B$5&amp;" · "&amp;Cotizador!$B$6</f>
        <v/>
      </c>
    </row>
    <row r="6">
      <c r="B6" s="2">
        <f>Cotizador!$B$7&amp;" · "&amp;Cotizador!$B$8&amp;" asesores · Fecha: "&amp;Cotizador!$B$16&amp;" · Vigencia: "&amp;Precios!$B$12&amp;" días"</f>
        <v/>
      </c>
    </row>
    <row r="8">
      <c r="B8" s="3" t="inlineStr">
        <is>
          <t>Lo que incluye tu plan</t>
        </is>
      </c>
    </row>
    <row r="9">
      <c r="B9" s="4" t="inlineStr">
        <is>
          <t>✓  Usuarios ilimitados: el administrador agrega y quita a su equipo</t>
        </is>
      </c>
    </row>
    <row r="10">
      <c r="B10" s="4" t="inlineStr">
        <is>
          <t>✓  Agente de voz IA 24/7 con 5 horas de llamadas al mes</t>
        </is>
      </c>
    </row>
    <row r="11">
      <c r="B11" s="4" t="inlineStr">
        <is>
          <t>✓  Número local y 2 llamadas simultáneas</t>
        </is>
      </c>
    </row>
    <row r="12">
      <c r="B12" s="4" t="inlineStr">
        <is>
          <t>✓  Servidor dedicado con respaldos diarios fuera de sitio</t>
        </is>
      </c>
    </row>
    <row r="13">
      <c r="B13" s="4" t="inlineStr">
        <is>
          <t>✓  Pipeline, Lead 360°, WhatsApp Business, Mercado Libre y Google Calendar</t>
        </is>
      </c>
    </row>
    <row r="14">
      <c r="B14" s="4" t="inlineStr">
        <is>
          <t>✓  Analytics, roles y permisos, 6 verticales configurables</t>
        </is>
      </c>
    </row>
    <row r="15">
      <c r="B15" s="4" t="inlineStr">
        <is>
          <t>✓  WhatsApp con los cargos de Meta incluidos y 500 mensajes de difusión al mes</t>
        </is>
      </c>
    </row>
    <row r="16">
      <c r="B16" s="4" t="inlineStr">
        <is>
          <t>✓  Soporte directo vía WhatsApp con el equipo que construye el producto</t>
        </is>
      </c>
    </row>
    <row r="18">
      <c r="B18" s="3" t="inlineStr">
        <is>
          <t>Inversión mensual</t>
        </is>
      </c>
      <c r="C18" s="2" t="inlineStr">
        <is>
          <t>MXN sin IVA</t>
        </is>
      </c>
      <c r="D18" s="2" t="inlineStr">
        <is>
          <t>MXN con IVA</t>
        </is>
      </c>
    </row>
    <row r="19">
      <c r="B19" s="17" t="inlineStr">
        <is>
          <t>Plan Innmobi</t>
        </is>
      </c>
      <c r="C19" s="18">
        <f>Cotizador!$B$25</f>
        <v/>
      </c>
      <c r="D19" s="18">
        <f>Cotizador!$B$25*(1+Precios!$B$7)</f>
        <v/>
      </c>
    </row>
    <row r="20">
      <c r="B20" s="17">
        <f>"Paquete de voz: "&amp;Cotizador!$B$10</f>
        <v/>
      </c>
      <c r="C20" s="18">
        <f>Cotizador!$B$26</f>
        <v/>
      </c>
      <c r="D20" s="18">
        <f>Cotizador!$B$26*(1+Precios!$B$7)</f>
        <v/>
      </c>
    </row>
    <row r="21">
      <c r="B21" s="17">
        <f>"Líneas adicionales: "&amp;Cotizador!$B$11</f>
        <v/>
      </c>
      <c r="C21" s="18">
        <f>Cotizador!$B$27</f>
        <v/>
      </c>
      <c r="D21" s="18">
        <f>Cotizador!$B$27*(1+Precios!$B$7)</f>
        <v/>
      </c>
    </row>
    <row r="22">
      <c r="B22" s="17">
        <f>"Difusión WhatsApp extra: "&amp;Cotizador!$B$12&amp;" x 1,000 mensajes"</f>
        <v/>
      </c>
      <c r="C22" s="18">
        <f>Cotizador!$B$28</f>
        <v/>
      </c>
      <c r="D22" s="18">
        <f>Cotizador!$B$28*(1+Precios!$B$7)</f>
        <v/>
      </c>
    </row>
    <row r="23">
      <c r="B23" s="19" t="inlineStr">
        <is>
          <t>Total mensual</t>
        </is>
      </c>
      <c r="C23" s="20">
        <f>Cotizador!$B$29</f>
        <v/>
      </c>
      <c r="D23" s="20">
        <f>Cotizador!$B$29*(1+Precios!$B$7)</f>
        <v/>
      </c>
    </row>
    <row r="24">
      <c r="B24" s="2">
        <f>IF(Cotizador!$B$13="Anual","Pago anual elegido: "&amp;TEXT(Cotizador!$B$32,"$#,##0")&amp;" + IVA por 12 meses (12 por el precio de 10 en el plan)","Opción anual: 12 meses por el precio de 10 en el plan")</f>
        <v/>
      </c>
    </row>
    <row r="26">
      <c r="B26" s="3" t="inlineStr">
        <is>
          <t>Implementación (pago único)</t>
        </is>
      </c>
    </row>
    <row r="27">
      <c r="B27" s="21" t="inlineStr">
        <is>
          <t>Implementación: migración, canales y onboarding 4 semanas</t>
        </is>
      </c>
      <c r="C27" s="22">
        <f>Precios!$B$6</f>
        <v/>
      </c>
      <c r="D27" s="22">
        <f>Precios!$B$6*(1+Precios!$B$7)</f>
        <v/>
      </c>
    </row>
    <row r="28">
      <c r="B28" s="17" t="inlineStr">
        <is>
          <t>Al firmar</t>
        </is>
      </c>
      <c r="C28" s="23">
        <f>Cotizador!$B$36</f>
        <v/>
      </c>
      <c r="D28" s="23">
        <f>Cotizador!$B$36*(1+Precios!$B$7)</f>
        <v/>
      </c>
    </row>
    <row r="29">
      <c r="B29" s="17">
        <f>IF(Cotizador!$B$37=0,"Sin segundo pago","Segundo pago: "&amp;Cotizador!$B$38)</f>
        <v/>
      </c>
      <c r="C29" s="23">
        <f>Cotizador!$B$37</f>
        <v/>
      </c>
      <c r="D29" s="23">
        <f>Cotizador!$B$37*(1+Precios!$B$7)</f>
        <v/>
      </c>
    </row>
    <row r="31">
      <c r="B31" s="3" t="inlineStr">
        <is>
          <t>Resumen de pagos</t>
        </is>
      </c>
    </row>
    <row r="32">
      <c r="B32" s="19" t="inlineStr">
        <is>
          <t>Primer pago (al firmar)</t>
        </is>
      </c>
      <c r="C32" s="20">
        <f>Cotizador!$B$43</f>
        <v/>
      </c>
      <c r="D32" s="20">
        <f>Cotizador!$B$43*(1+Precios!$B$7)</f>
        <v/>
      </c>
    </row>
    <row r="33">
      <c r="B33" s="21" t="inlineStr">
        <is>
          <t>Total del primer año</t>
        </is>
      </c>
      <c r="C33" s="22">
        <f>Cotizador!$B$45</f>
        <v/>
      </c>
      <c r="D33" s="22">
        <f>Cotizador!$B$45*(1+Precios!$B$7)</f>
        <v/>
      </c>
    </row>
    <row r="35">
      <c r="B35" s="3" t="inlineStr">
        <is>
          <t>Condiciones</t>
        </is>
      </c>
    </row>
    <row r="36">
      <c r="B36" s="24" t="inlineStr">
        <is>
          <t>·  Precios en pesos mexicanos más IVA. Facturamos con CFDI desde OrzaTech S.A.P.I. de C.V.</t>
        </is>
      </c>
    </row>
    <row r="37">
      <c r="B37" s="24" t="inlineStr">
        <is>
          <t>·  La implementación arranca con el pago de firma. Duración: 4 semanas.</t>
        </is>
      </c>
    </row>
    <row r="38">
      <c r="B38" s="24" t="inlineStr">
        <is>
          <t>·  Horas de llamadas no usadas no se acumulan. Minuto adicional sin paquete: $6 MXN + IVA.</t>
        </is>
      </c>
    </row>
    <row r="39">
      <c r="B39" s="24" t="inlineStr">
        <is>
          <t>·  Los cargos de Meta por WhatsApp están incluidos (conversaciones, recordatorios y 500 mensajes de difusión al mes).</t>
        </is>
      </c>
    </row>
    <row r="40">
      <c r="B40" s="24" t="inlineStr">
        <is>
          <t>·  Sin lock-in: si te vas, exportamos tu data en CSV/JSON y la borramos de nuestros servidores en 30 días.</t>
        </is>
      </c>
    </row>
    <row r="41">
      <c r="B41" s="2">
        <f>IF(Cotizador!$B$37=0,"","·  Condición del calendario de pago elegido: "&amp;Cotizador!$B$39&amp;".")</f>
        <v/>
      </c>
    </row>
    <row r="43">
      <c r="B43" s="9">
        <f>"Tu contacto: "&amp;Cotizador!$B$15&amp;" · ventas@innmobi.ai · WhatsApp +52 56 2059 5320"</f>
        <v/>
      </c>
    </row>
  </sheetData>
  <pageMargins left="0.5" right="0.5" top="0.5" bottom="0.5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34" customWidth="1" min="4" max="4"/>
    <col width="60" customWidth="1" min="5" max="5"/>
  </cols>
  <sheetData>
    <row r="1">
      <c r="A1" s="1" t="inlineStr">
        <is>
          <t>Lista de precios Innmobi.ai (MXN, sin IVA) · no editar sin autorización</t>
        </is>
      </c>
    </row>
    <row r="3">
      <c r="A3" s="25" t="inlineStr">
        <is>
          <t>Concepto</t>
        </is>
      </c>
      <c r="B3" s="25" t="inlineStr">
        <is>
          <t>Precio</t>
        </is>
      </c>
      <c r="C3" s="25" t="inlineStr">
        <is>
          <t>Nota</t>
        </is>
      </c>
    </row>
    <row r="4">
      <c r="A4" s="4" t="inlineStr">
        <is>
          <t>Plan Innmobi (mensual)</t>
        </is>
      </c>
      <c r="B4" s="26" t="n">
        <v>4000</v>
      </c>
      <c r="C4" s="2" t="inlineStr">
        <is>
          <t>Usuarios ilimitados, 5 h de llamadas IA, 2 líneas, número local, servidor dedicado, todas las funciones</t>
        </is>
      </c>
    </row>
    <row r="5">
      <c r="A5" s="4" t="inlineStr">
        <is>
          <t>Meses que se pagan en plan anual</t>
        </is>
      </c>
      <c r="B5" s="27" t="n">
        <v>10</v>
      </c>
      <c r="C5" s="2" t="inlineStr">
        <is>
          <t>Anual = 12 meses por el precio de 10 (aplica solo al plan, no a extras)</t>
        </is>
      </c>
    </row>
    <row r="6">
      <c r="A6" s="4" t="inlineStr">
        <is>
          <t>Implementación</t>
        </is>
      </c>
      <c r="B6" s="26" t="n">
        <v>20000</v>
      </c>
      <c r="C6" s="2" t="inlineStr">
        <is>
          <t>Pago único. El monto no se negocia; solo el calendario (escalones)</t>
        </is>
      </c>
    </row>
    <row r="7">
      <c r="A7" s="4" t="inlineStr">
        <is>
          <t>IVA</t>
        </is>
      </c>
      <c r="B7" s="28" t="n">
        <v>0.16</v>
      </c>
      <c r="C7" s="2" t="inlineStr"/>
    </row>
    <row r="8">
      <c r="A8" s="4" t="inlineStr">
        <is>
          <t>Línea simultánea adicional (mensual)</t>
        </is>
      </c>
      <c r="B8" s="26" t="n">
        <v>500</v>
      </c>
      <c r="C8" s="2" t="inlineStr"/>
    </row>
    <row r="9">
      <c r="A9" s="4" t="inlineStr">
        <is>
          <t>Paquete de 1,000 mensajes de difusión WhatsApp</t>
        </is>
      </c>
      <c r="B9" s="26" t="n">
        <v>1200</v>
      </c>
      <c r="C9" s="2" t="inlineStr">
        <is>
          <t>Incluidos 500 al mes; este paquete agrega 1,000</t>
        </is>
      </c>
    </row>
    <row r="10">
      <c r="A10" s="4" t="inlineStr">
        <is>
          <t>Minuto de voz sin paquete</t>
        </is>
      </c>
      <c r="B10" s="26" t="n">
        <v>6</v>
      </c>
      <c r="C10" s="2" t="inlineStr">
        <is>
          <t>Se cobra al cierre de mes si se pasan de sus horas</t>
        </is>
      </c>
    </row>
    <row r="11">
      <c r="A11" s="4" t="inlineStr">
        <is>
          <t>Minutos por llamada de calificación (promedio)</t>
        </is>
      </c>
      <c r="B11" s="29" t="n">
        <v>2.5</v>
      </c>
      <c r="C11" s="2" t="inlineStr">
        <is>
          <t>Para estimar horas</t>
        </is>
      </c>
    </row>
    <row r="12">
      <c r="A12" s="4" t="inlineStr">
        <is>
          <t>Vigencia de la propuesta (días)</t>
        </is>
      </c>
      <c r="B12" s="27" t="n">
        <v>14</v>
      </c>
      <c r="C12" s="2" t="inlineStr"/>
    </row>
    <row r="13">
      <c r="A13" s="3" t="inlineStr">
        <is>
          <t>Paquetes de voz</t>
        </is>
      </c>
    </row>
    <row r="14">
      <c r="A14" s="25" t="inlineStr">
        <is>
          <t>Paquete</t>
        </is>
      </c>
      <c r="B14" s="25" t="inlineStr">
        <is>
          <t>Horas extra</t>
        </is>
      </c>
      <c r="C14" s="25" t="inlineStr">
        <is>
          <t>Precio mensual</t>
        </is>
      </c>
    </row>
    <row r="15">
      <c r="A15" s="4" t="inlineStr">
        <is>
          <t>Ninguno</t>
        </is>
      </c>
      <c r="B15" s="30" t="n">
        <v>0</v>
      </c>
      <c r="C15" s="26" t="n">
        <v>0</v>
      </c>
    </row>
    <row r="16">
      <c r="A16" s="4" t="inlineStr">
        <is>
          <t>+5 h</t>
        </is>
      </c>
      <c r="B16" s="30" t="n">
        <v>5</v>
      </c>
      <c r="C16" s="26" t="n">
        <v>1500</v>
      </c>
    </row>
    <row r="17">
      <c r="A17" s="4" t="inlineStr">
        <is>
          <t>+10 h</t>
        </is>
      </c>
      <c r="B17" s="30" t="n">
        <v>10</v>
      </c>
      <c r="C17" s="26" t="n">
        <v>2700</v>
      </c>
    </row>
    <row r="20">
      <c r="A20" s="3" t="inlineStr">
        <is>
          <t>Escalones de implementación (ver sales/playbook.md)</t>
        </is>
      </c>
    </row>
    <row r="21">
      <c r="A21" s="25" t="inlineStr">
        <is>
          <t>Escalón</t>
        </is>
      </c>
      <c r="B21" s="25" t="inlineStr">
        <is>
          <t>Al firmar</t>
        </is>
      </c>
      <c r="C21" s="25" t="inlineStr">
        <is>
          <t>Segundo pago</t>
        </is>
      </c>
      <c r="D21" s="25" t="inlineStr">
        <is>
          <t>Cuándo</t>
        </is>
      </c>
      <c r="E21" s="25" t="inlineStr">
        <is>
          <t>Condición</t>
        </is>
      </c>
    </row>
    <row r="22">
      <c r="A22" s="4" t="inlineStr">
        <is>
          <t>A · Lista</t>
        </is>
      </c>
      <c r="B22" s="26" t="n">
        <v>20000</v>
      </c>
      <c r="C22" s="26" t="n">
        <v>0</v>
      </c>
      <c r="D22" s="4" t="inlineStr">
        <is>
          <t>—</t>
        </is>
      </c>
      <c r="E22" s="2" t="inlineStr">
        <is>
          <t>Ninguna</t>
        </is>
      </c>
    </row>
    <row r="23">
      <c r="A23" s="4" t="inlineStr">
        <is>
          <t>B</t>
        </is>
      </c>
      <c r="B23" s="26" t="n">
        <v>15000</v>
      </c>
      <c r="C23" s="26" t="n">
        <v>5000</v>
      </c>
      <c r="D23" s="4" t="inlineStr">
        <is>
          <t>Al arranque de operación (semana 4)</t>
        </is>
      </c>
      <c r="E23" s="2" t="inlineStr">
        <is>
          <t>Kickoff en las próximas 2 semanas</t>
        </is>
      </c>
    </row>
    <row r="24">
      <c r="A24" s="4" t="inlineStr">
        <is>
          <t>C</t>
        </is>
      </c>
      <c r="B24" s="26" t="n">
        <v>10000</v>
      </c>
      <c r="C24" s="26" t="n">
        <v>10000</v>
      </c>
      <c r="D24" s="4" t="inlineStr">
        <is>
          <t>Al arranque de operación (semana 4)</t>
        </is>
      </c>
      <c r="E24" s="2" t="inlineStr">
        <is>
          <t>Firma esta semana</t>
        </is>
      </c>
    </row>
    <row r="25">
      <c r="A25" s="4" t="inlineStr">
        <is>
          <t>D · Piso</t>
        </is>
      </c>
      <c r="B25" s="26" t="n">
        <v>10000</v>
      </c>
      <c r="C25" s="26" t="n">
        <v>10000</v>
      </c>
      <c r="D25" s="4" t="inlineStr">
        <is>
          <t>A 90 días de la firma</t>
        </is>
      </c>
      <c r="E25" s="2" t="inlineStr">
        <is>
          <t>Contrato 12 meses + cargo domiciliado + caso de éxito o referido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2026-10-08T19:35:50Z</dcterms:created>
  <dcterms:modified xsi:type="dcterms:W3CDTF">2026-10-08T19:35:50Z</dcterms:modified>
</cp:coreProperties>
</file>